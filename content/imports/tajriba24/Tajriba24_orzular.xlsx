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zul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<sst xmlns="http://schemas.openxmlformats.org/spreadsheetml/2006/main" count="253" uniqueCount="185">
  <si>
    <t xml:space="preserve">№</t>
  </si>
  <si>
    <t xml:space="preserve">Kod</t>
  </si>
  <si>
    <t xml:space="preserve">Orzu</t>
  </si>
  <si>
    <t xml:space="preserve">Tavsif</t>
  </si>
  <si>
    <t xml:space="preserve">Narx (sh.b.)</t>
  </si>
  <si>
    <t xml:space="preserve">Yo‘nalish</t>
  </si>
  <si>
    <t xml:space="preserve">Ufq</t>
  </si>
  <si>
    <t xml:space="preserve">Nimani o‘rgatadi</t>
  </si>
  <si>
    <t xml:space="preserve">ORZ-01</t>
  </si>
  <si>
    <t xml:space="preserve">O‘z uyingiz va hovli</t>
  </si>
  <si>
    <t xml:space="preserve">Oilangiz uchun keng, ta’mirlangan o‘z uy-joy sotib oling.</t>
  </si>
  <si>
    <t xml:space="preserve">Oila va uy-joy</t>
  </si>
  <si>
    <t xml:space="preserve">Hozirgi</t>
  </si>
  <si>
    <t xml:space="preserve">Eng katta xarid uchun uzoq jamg‘arma</t>
  </si>
  <si>
    <t xml:space="preserve">ORZ-02</t>
  </si>
  <si>
    <t xml:space="preserve">Oilaviy avtomobil va ta’til fondi</t>
  </si>
  <si>
    <t xml:space="preserve">O‘z avtomobilingiz va har yil oila bilan dam olish uchun jamg‘arma yarating.</t>
  </si>
  <si>
    <t xml:space="preserve">Istak va ehtiyojni muvozanatlash</t>
  </si>
  <si>
    <t xml:space="preserve">ORZ-03</t>
  </si>
  <si>
    <t xml:space="preserve">Farzandlar ta’limi fondi</t>
  </si>
  <si>
    <t xml:space="preserve">Farzandlaringizning maktab va universitet ta’limi uchun to‘liq jamg‘arma yarating.</t>
  </si>
  <si>
    <t xml:space="preserve">Ta’lim</t>
  </si>
  <si>
    <t xml:space="preserve">Uzoq muddatli maqsad uchun rejalash</t>
  </si>
  <si>
    <t xml:space="preserve">ORZ-04</t>
  </si>
  <si>
    <t xml:space="preserve">Ota-onalar uchun xotirjam hayot</t>
  </si>
  <si>
    <t xml:space="preserve">Ota-onangizning davolanish va yashash xarajatlarini doimiy ta’minlaydigan fond yarating.</t>
  </si>
  <si>
    <t xml:space="preserve">Oila oldidagi mas’uliyat va zaxira</t>
  </si>
  <si>
    <t xml:space="preserve">ORZ-05</t>
  </si>
  <si>
    <t xml:space="preserve">Moliyaviy erkinlik</t>
  </si>
  <si>
    <t xml:space="preserve">Passiv daromadingiz xarajatlaringizdan oshsin: ishlamasangiz ham yashay oling.</t>
  </si>
  <si>
    <t xml:space="preserve">Shaxsiy moliya</t>
  </si>
  <si>
    <t xml:space="preserve">Aktivlar daromadi xarajatni qoplashi</t>
  </si>
  <si>
    <t xml:space="preserve">ORZ-06</t>
  </si>
  <si>
    <t xml:space="preserve">Mahalla obodonlashtirish fondi</t>
  </si>
  <si>
    <t xml:space="preserve">Mahallangizda yo‘l, yoritish va bolalar maydonchasini yangilang.</t>
  </si>
  <si>
    <t xml:space="preserve">Jamiyat</t>
  </si>
  <si>
    <t xml:space="preserve">Jamiyat oldidagi ishtirok</t>
  </si>
  <si>
    <t xml:space="preserve">ORZ-07</t>
  </si>
  <si>
    <t xml:space="preserve">O‘z ishlab chiqarish korxonangiz</t>
  </si>
  <si>
    <t xml:space="preserve">Mahalliy xomashyodan tayyor mahsulot chiqaradigan zamonaviy sex quring.</t>
  </si>
  <si>
    <t xml:space="preserve">Biznes</t>
  </si>
  <si>
    <t xml:space="preserve">Ishlab chiqarishni kengaytirish</t>
  </si>
  <si>
    <t xml:space="preserve">ORZ-08</t>
  </si>
  <si>
    <t xml:space="preserve">Zamonaviy fermer xo‘jaligi</t>
  </si>
  <si>
    <t xml:space="preserve">Tomchilatib sug‘orishli intensiv bog‘ va qadoqlash sexi bo‘lgan xo‘jalik yarating.</t>
  </si>
  <si>
    <t xml:space="preserve">Agro</t>
  </si>
  <si>
    <t xml:space="preserve">Qo‘shilgan qiymat zanjiri</t>
  </si>
  <si>
    <t xml:space="preserve">ORZ-09</t>
  </si>
  <si>
    <t xml:space="preserve">Hunarmandlar mahallasi</t>
  </si>
  <si>
    <t xml:space="preserve">Turistlar uchun hunarmandlar ustaxonalari va savdo rastalari mahallasini yarating.</t>
  </si>
  <si>
    <t xml:space="preserve">Turizm va madaniyat</t>
  </si>
  <si>
    <t xml:space="preserve">Mahalliy qadriyatdan biznes</t>
  </si>
  <si>
    <t xml:space="preserve">ORZ-10</t>
  </si>
  <si>
    <t xml:space="preserve">Zamonaviy xususiy maktab</t>
  </si>
  <si>
    <t xml:space="preserve">Mahallangizda xalqaro standartdagi xususiy maktab quring.</t>
  </si>
  <si>
    <t xml:space="preserve">Ijtimoiy va tijorat maqsadini uyg‘unlashtirish</t>
  </si>
  <si>
    <t xml:space="preserve">ORZ-11</t>
  </si>
  <si>
    <t xml:space="preserve">Oilaviy poliklinika</t>
  </si>
  <si>
    <t xml:space="preserve">Bolalar va oilalar uchun zamonaviy tibbiyot markazi qurish.</t>
  </si>
  <si>
    <t xml:space="preserve">Sog‘liq</t>
  </si>
  <si>
    <t xml:space="preserve">Xizmat sifati va ishonch</t>
  </si>
  <si>
    <t xml:space="preserve">ORZ-12</t>
  </si>
  <si>
    <t xml:space="preserve">Stipendiya fondi</t>
  </si>
  <si>
    <t xml:space="preserve">Yuz nafar iqtidorli talabaga stipendiya beradigan fond yarating.</t>
  </si>
  <si>
    <t xml:space="preserve">Xayriya va fond boshqaruvi</t>
  </si>
  <si>
    <t xml:space="preserve">ORZ-13</t>
  </si>
  <si>
    <t xml:space="preserve">Sport akademiyasi</t>
  </si>
  <si>
    <t xml:space="preserve">Iqtidorli bolalar uchun sport akademiyasi oching.</t>
  </si>
  <si>
    <t xml:space="preserve">Sport</t>
  </si>
  <si>
    <t xml:space="preserve">Odamlarga sarmoya</t>
  </si>
  <si>
    <t xml:space="preserve">ORZ-14</t>
  </si>
  <si>
    <t xml:space="preserve">Kutubxona va madaniyat markazi</t>
  </si>
  <si>
    <t xml:space="preserve">Mahallangizga zamonaviy kutubxona va madaniyat markazi quring.</t>
  </si>
  <si>
    <t xml:space="preserve">Madaniyatga sarmoya</t>
  </si>
  <si>
    <t xml:space="preserve">ORZ-15</t>
  </si>
  <si>
    <t xml:space="preserve">Mehmon uylari tarmog‘i</t>
  </si>
  <si>
    <t xml:space="preserve">Ichki turizm uchun bir nechta mehmon uyi va xostellardan iborat tarmoq yarating.</t>
  </si>
  <si>
    <t xml:space="preserve">Tarmoqni kengaytirish</t>
  </si>
  <si>
    <t xml:space="preserve">ORZ-16</t>
  </si>
  <si>
    <t xml:space="preserve">Tog‘da ekologik kurort</t>
  </si>
  <si>
    <t xml:space="preserve">Tog‘da tabiatga zarar yetkazmaydigan ekologik kurort quring.</t>
  </si>
  <si>
    <t xml:space="preserve">Barqaror biznes</t>
  </si>
  <si>
    <t xml:space="preserve">ORZ-17</t>
  </si>
  <si>
    <t xml:space="preserve">Milliy taomlar restoran tarmog‘i</t>
  </si>
  <si>
    <t xml:space="preserve">Milliy taomlar restoranlarini franshiza asosida kengaytiring.</t>
  </si>
  <si>
    <t xml:space="preserve">Franshiza va standartlashtirish</t>
  </si>
  <si>
    <t xml:space="preserve">ORZ-18</t>
  </si>
  <si>
    <t xml:space="preserve">Onlayn ta’lim platformasi</t>
  </si>
  <si>
    <t xml:space="preserve">Kasb o‘rgatadigan o‘zbek tilidagi onlayn ta’lim platformasini yarating.</t>
  </si>
  <si>
    <t xml:space="preserve">Raqamli mahsulot ulushi</t>
  </si>
  <si>
    <t xml:space="preserve">ORZ-19</t>
  </si>
  <si>
    <t xml:space="preserve">Yetkazib berish va logistika kompaniyasi</t>
  </si>
  <si>
    <t xml:space="preserve">Shaharlararo yetkazib berish va ombor xizmatini yirik kompaniyaga aylantiring.</t>
  </si>
  <si>
    <t xml:space="preserve">Operatsion tizimlar</t>
  </si>
  <si>
    <t xml:space="preserve">ORZ-20</t>
  </si>
  <si>
    <t xml:space="preserve">Suv tozalash zavodi</t>
  </si>
  <si>
    <t xml:space="preserve">Qishloqlar uchun ichimlik suvini tozalaydigan zavod quring.</t>
  </si>
  <si>
    <t xml:space="preserve">Ekologiya</t>
  </si>
  <si>
    <t xml:space="preserve">Ijtimoiy ahamiyatli infratuzilma</t>
  </si>
  <si>
    <t xml:space="preserve">ORZ-21</t>
  </si>
  <si>
    <t xml:space="preserve">Quyosh energetikasi fermasi</t>
  </si>
  <si>
    <t xml:space="preserve">Katta quyosh elektr stansiyasi quring va energiyani tarmoqqa soting.</t>
  </si>
  <si>
    <t xml:space="preserve">Energiya</t>
  </si>
  <si>
    <t xml:space="preserve">Istiqbol</t>
  </si>
  <si>
    <t xml:space="preserve">Qayta tiklanadigan energiya</t>
  </si>
  <si>
    <t xml:space="preserve">ORZ-22</t>
  </si>
  <si>
    <t xml:space="preserve">Elektr transport zaryad tarmog‘i</t>
  </si>
  <si>
    <t xml:space="preserve">Viloyat yo‘llari bo‘ylab tez zaryad stansiyalari tarmog‘ini yarating.</t>
  </si>
  <si>
    <t xml:space="preserve">Infratuzilmaga oldindan sarmoya</t>
  </si>
  <si>
    <t xml:space="preserve">ORZ-23</t>
  </si>
  <si>
    <t xml:space="preserve">Startaplar uchun texnopark</t>
  </si>
  <si>
    <t xml:space="preserve">Yosh tadbirkorlar uchun texnopark va inkubator yarating.</t>
  </si>
  <si>
    <t xml:space="preserve">Texnologiya</t>
  </si>
  <si>
    <t xml:space="preserve">Ekotizim qurish</t>
  </si>
  <si>
    <t xml:space="preserve">ORZ-24</t>
  </si>
  <si>
    <t xml:space="preserve">Sun’iy intellekt kompaniyasi</t>
  </si>
  <si>
    <t xml:space="preserve">Mahalliy tilda ishlaydigan sun’iy intellekt mahsulotlarini yarating.</t>
  </si>
  <si>
    <t xml:space="preserve">Texnologiya va ma’lumot qiymati</t>
  </si>
  <si>
    <t xml:space="preserve">ORZ-25</t>
  </si>
  <si>
    <t xml:space="preserve">Kiberxavfsizlik kompaniyasi</t>
  </si>
  <si>
    <t xml:space="preserve">Biznes va bank tizimlarini himoya qiladigan kiberxavfsizlik kompaniyasi.</t>
  </si>
  <si>
    <t xml:space="preserve">Xavfsizlik — doimiy talab</t>
  </si>
  <si>
    <t xml:space="preserve">ORZ-26</t>
  </si>
  <si>
    <t xml:space="preserve">Ilmiy laboratoriya</t>
  </si>
  <si>
    <t xml:space="preserve">Ixtirochilar va tadqiqotchilar uchun zamonaviy ilmiy laboratoriya quring.</t>
  </si>
  <si>
    <t xml:space="preserve">Ilm-fanga sarmoya</t>
  </si>
  <si>
    <t xml:space="preserve">ORZ-27</t>
  </si>
  <si>
    <t xml:space="preserve">Aqlli uy va aqlli mahalla tizimlari</t>
  </si>
  <si>
    <t xml:space="preserve">Energiyani tejaydigan aqlli uy va mahalla tizimlarini ishlab chiqaring.</t>
  </si>
  <si>
    <t xml:space="preserve">Energiya tejash texnologiyasi</t>
  </si>
  <si>
    <t xml:space="preserve">ORZ-28</t>
  </si>
  <si>
    <t xml:space="preserve">Suvni tejaydigan agrotexnologiya</t>
  </si>
  <si>
    <t xml:space="preserve">Kam suv sarflaydigan sug‘orish va sensorli dehqonchilik tizimini yarating.</t>
  </si>
  <si>
    <t xml:space="preserve">Resurs tejash</t>
  </si>
  <si>
    <t xml:space="preserve">ORZ-29</t>
  </si>
  <si>
    <t xml:space="preserve">Chiqindidan energiya zavodi</t>
  </si>
  <si>
    <t xml:space="preserve">Organik chiqindidan biogaz va o‘g‘it ishlab chiqaradigan zavod quring.</t>
  </si>
  <si>
    <t xml:space="preserve">Aylanma iqtisodiyot</t>
  </si>
  <si>
    <t xml:space="preserve">ORZ-30</t>
  </si>
  <si>
    <t xml:space="preserve">Dron xizmatlari kompaniyasi</t>
  </si>
  <si>
    <t xml:space="preserve">Dehqonchilik va yetkazib berish uchun dron xizmati kompaniyasini yarating.</t>
  </si>
  <si>
    <t xml:space="preserve">Yangi bozor yaratish</t>
  </si>
  <si>
    <t xml:space="preserve">ORZ-31</t>
  </si>
  <si>
    <t xml:space="preserve">Telemeditsina platformasi</t>
  </si>
  <si>
    <t xml:space="preserve">Chekka hududlarga shifokor maslahatini yetkazadigan raqamli platforma yarating.</t>
  </si>
  <si>
    <t xml:space="preserve">Masofaviy xizmat imkoniyati</t>
  </si>
  <si>
    <t xml:space="preserve">ORZ-32</t>
  </si>
  <si>
    <t xml:space="preserve">Eksport fabrikasi</t>
  </si>
  <si>
    <t xml:space="preserve">Dunyo bozoriga mahsulot sotadigan zamonaviy fabrika quring.</t>
  </si>
  <si>
    <t xml:space="preserve">Eksport va sifat standarti</t>
  </si>
  <si>
    <t xml:space="preserve">ORZ-33</t>
  </si>
  <si>
    <t xml:space="preserve">Moda brendi</t>
  </si>
  <si>
    <t xml:space="preserve">Jahon bozoriga chiqadigan milliy moda brendini yarating.</t>
  </si>
  <si>
    <t xml:space="preserve">Brend qiymati</t>
  </si>
  <si>
    <t xml:space="preserve">ORZ-34</t>
  </si>
  <si>
    <t xml:space="preserve">Xavfsiz raqamli to‘lov xizmati</t>
  </si>
  <si>
    <t xml:space="preserve">Kichik biznes uchun xavfsiz va arzon to‘lov xizmatini yarating.</t>
  </si>
  <si>
    <t xml:space="preserve">Ishonch va tartibga solish</t>
  </si>
  <si>
    <t xml:space="preserve">ORZ-35</t>
  </si>
  <si>
    <t xml:space="preserve">Elektr batareya yig‘ish zavodi</t>
  </si>
  <si>
    <t xml:space="preserve">Elektr transport va quyosh tizimlari uchun batareya yig‘adigan zavod quring.</t>
  </si>
  <si>
    <t xml:space="preserve">Yuqori texnologik ishlab chiqarish</t>
  </si>
  <si>
    <t xml:space="preserve">ORZ-36</t>
  </si>
  <si>
    <t xml:space="preserve">Yuk logistika terminali</t>
  </si>
  <si>
    <t xml:space="preserve">Temir yo‘l va avtomobil yuklarini birlashtiradigan zamonaviy terminal quring.</t>
  </si>
  <si>
    <t xml:space="preserve">Katta infratuzilma loyihasi</t>
  </si>
  <si>
    <t xml:space="preserve">ORZ-37</t>
  </si>
  <si>
    <t xml:space="preserve">Yoshlar olimpiada jamoasi homiyligi</t>
  </si>
  <si>
    <t xml:space="preserve">Yoshlar olimpiada jamoasini ko‘p yillik homiylik qiling.</t>
  </si>
  <si>
    <t xml:space="preserve">Uzoq muddatli homiylik</t>
  </si>
  <si>
    <t xml:space="preserve">ORZ-38</t>
  </si>
  <si>
    <t xml:space="preserve">Dehqonchilik kooperativi</t>
  </si>
  <si>
    <t xml:space="preserve">Ming oilani birlashtirgan agrokooperativ tuzing.</t>
  </si>
  <si>
    <t xml:space="preserve">Hamkorlikning kuchi</t>
  </si>
  <si>
    <t xml:space="preserve">ORZ-39</t>
  </si>
  <si>
    <t xml:space="preserve">Raqamli kontent studiyasi</t>
  </si>
  <si>
    <t xml:space="preserve">Kino, animatsiya va o‘yinlar yaratadigan raqamli studiya oching.</t>
  </si>
  <si>
    <t xml:space="preserve">Ijod va intellektual mulk</t>
  </si>
  <si>
    <t xml:space="preserve">ORZ-40</t>
  </si>
  <si>
    <t xml:space="preserve">Ikki yillik malaka sayohati</t>
  </si>
  <si>
    <t xml:space="preserve">Ikki yil davomida dunyo bo‘ylab o‘qib, ishlab va tajriba orttiring.</t>
  </si>
  <si>
    <t xml:space="preserve">Tajribaga sarmoya</t>
  </si>
  <si>
    <t xml:space="preserve">Jami orzu</t>
  </si>
  <si>
    <t xml:space="preserve">Eng arzon / eng qimmat</t>
  </si>
  <si>
    <t xml:space="preserve">Qoida: g‘alaba — pul oqimi ≥ 100 000 + orzu katagi + naqd ≥ orzu narxi. Qimor, tungi klub, spekulyatsiya, spirtli/tamaki, qurol va diniy mavzular yo‘q; real brend nomlari yo‘q.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</si>
</sst>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82238"/>
        <bgColor rgb="FF003300"/>
      </patternFill>
    </fill>
    <fill>
      <patternFill patternType="solid">
        <fgColor rgb="FFE3F4EA"/>
        <bgColor rgb="FFFDF1D6"/>
      </patternFill>
    </fill>
    <fill>
      <patternFill patternType="solid">
        <fgColor rgb="FFFDF1D6"/>
        <bgColor rgb="FFE3F4E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1D6"/>
      <rgbColor rgb="FFE3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223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64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3" t="n">
        <v>900000</v>
      </c>
      <c r="F2" s="2" t="s">
        <v>11</v>
      </c>
      <c r="G2" s="4" t="s">
        <v>12</v>
      </c>
      <c r="H2" s="2" t="s">
        <v>13</v>
      </c>
    </row>
    <row r="3" customFormat="false" ht="15" hidden="false" customHeight="false" outlineLevel="0" collapsed="false">
      <c r="A3" s="2" t="n">
        <v>2</v>
      </c>
      <c r="B3" s="2" t="s">
        <v>14</v>
      </c>
      <c r="C3" s="2" t="s">
        <v>15</v>
      </c>
      <c r="D3" s="2" t="s">
        <v>16</v>
      </c>
      <c r="E3" s="3" t="n">
        <v>800000</v>
      </c>
      <c r="F3" s="2" t="s">
        <v>11</v>
      </c>
      <c r="G3" s="4" t="s">
        <v>12</v>
      </c>
      <c r="H3" s="2" t="s">
        <v>17</v>
      </c>
    </row>
    <row r="4" customFormat="false" ht="23.85" hidden="false" customHeight="false" outlineLevel="0" collapsed="false">
      <c r="A4" s="2" t="n">
        <v>3</v>
      </c>
      <c r="B4" s="2" t="s">
        <v>18</v>
      </c>
      <c r="C4" s="2" t="s">
        <v>19</v>
      </c>
      <c r="D4" s="2" t="s">
        <v>20</v>
      </c>
      <c r="E4" s="3" t="n">
        <v>1000000</v>
      </c>
      <c r="F4" s="2" t="s">
        <v>21</v>
      </c>
      <c r="G4" s="4" t="s">
        <v>12</v>
      </c>
      <c r="H4" s="2" t="s">
        <v>22</v>
      </c>
    </row>
    <row r="5" customFormat="false" ht="23.85" hidden="false" customHeight="false" outlineLevel="0" collapsed="false">
      <c r="A5" s="2" t="n">
        <v>4</v>
      </c>
      <c r="B5" s="2" t="s">
        <v>23</v>
      </c>
      <c r="C5" s="2" t="s">
        <v>24</v>
      </c>
      <c r="D5" s="2" t="s">
        <v>25</v>
      </c>
      <c r="E5" s="3" t="n">
        <v>900000</v>
      </c>
      <c r="F5" s="2" t="s">
        <v>11</v>
      </c>
      <c r="G5" s="4" t="s">
        <v>12</v>
      </c>
      <c r="H5" s="2" t="s">
        <v>26</v>
      </c>
    </row>
    <row r="6" customFormat="false" ht="23.85" hidden="false" customHeight="false" outlineLevel="0" collapsed="false">
      <c r="A6" s="2" t="n">
        <v>5</v>
      </c>
      <c r="B6" s="2" t="s">
        <v>27</v>
      </c>
      <c r="C6" s="2" t="s">
        <v>28</v>
      </c>
      <c r="D6" s="2" t="s">
        <v>29</v>
      </c>
      <c r="E6" s="3" t="n">
        <v>1500000</v>
      </c>
      <c r="F6" s="2" t="s">
        <v>30</v>
      </c>
      <c r="G6" s="4" t="s">
        <v>12</v>
      </c>
      <c r="H6" s="2" t="s">
        <v>31</v>
      </c>
    </row>
    <row r="7" customFormat="false" ht="15" hidden="false" customHeight="false" outlineLevel="0" collapsed="false">
      <c r="A7" s="2" t="n">
        <v>6</v>
      </c>
      <c r="B7" s="2" t="s">
        <v>32</v>
      </c>
      <c r="C7" s="2" t="s">
        <v>33</v>
      </c>
      <c r="D7" s="2" t="s">
        <v>34</v>
      </c>
      <c r="E7" s="3" t="n">
        <v>800000</v>
      </c>
      <c r="F7" s="2" t="s">
        <v>35</v>
      </c>
      <c r="G7" s="4" t="s">
        <v>12</v>
      </c>
      <c r="H7" s="2" t="s">
        <v>36</v>
      </c>
    </row>
    <row r="8" customFormat="false" ht="15" hidden="false" customHeight="false" outlineLevel="0" collapsed="false">
      <c r="A8" s="2" t="n">
        <v>7</v>
      </c>
      <c r="B8" s="2" t="s">
        <v>37</v>
      </c>
      <c r="C8" s="2" t="s">
        <v>38</v>
      </c>
      <c r="D8" s="2" t="s">
        <v>39</v>
      </c>
      <c r="E8" s="3" t="n">
        <v>1400000</v>
      </c>
      <c r="F8" s="2" t="s">
        <v>40</v>
      </c>
      <c r="G8" s="4" t="s">
        <v>12</v>
      </c>
      <c r="H8" s="2" t="s">
        <v>41</v>
      </c>
    </row>
    <row r="9" customFormat="false" ht="15" hidden="false" customHeight="false" outlineLevel="0" collapsed="false">
      <c r="A9" s="2" t="n">
        <v>8</v>
      </c>
      <c r="B9" s="2" t="s">
        <v>42</v>
      </c>
      <c r="C9" s="2" t="s">
        <v>43</v>
      </c>
      <c r="D9" s="2" t="s">
        <v>44</v>
      </c>
      <c r="E9" s="3" t="n">
        <v>1300000</v>
      </c>
      <c r="F9" s="2" t="s">
        <v>45</v>
      </c>
      <c r="G9" s="4" t="s">
        <v>12</v>
      </c>
      <c r="H9" s="2" t="s">
        <v>46</v>
      </c>
    </row>
    <row r="10" customFormat="false" ht="23.85" hidden="false" customHeight="false" outlineLevel="0" collapsed="false">
      <c r="A10" s="2" t="n">
        <v>9</v>
      </c>
      <c r="B10" s="2" t="s">
        <v>47</v>
      </c>
      <c r="C10" s="2" t="s">
        <v>48</v>
      </c>
      <c r="D10" s="2" t="s">
        <v>49</v>
      </c>
      <c r="E10" s="3" t="n">
        <v>1100000</v>
      </c>
      <c r="F10" s="2" t="s">
        <v>50</v>
      </c>
      <c r="G10" s="4" t="s">
        <v>12</v>
      </c>
      <c r="H10" s="2" t="s">
        <v>51</v>
      </c>
    </row>
    <row r="11" customFormat="false" ht="15" hidden="false" customHeight="false" outlineLevel="0" collapsed="false">
      <c r="A11" s="2" t="n">
        <v>10</v>
      </c>
      <c r="B11" s="2" t="s">
        <v>52</v>
      </c>
      <c r="C11" s="2" t="s">
        <v>53</v>
      </c>
      <c r="D11" s="2" t="s">
        <v>54</v>
      </c>
      <c r="E11" s="3" t="n">
        <v>1200000</v>
      </c>
      <c r="F11" s="2" t="s">
        <v>21</v>
      </c>
      <c r="G11" s="4" t="s">
        <v>12</v>
      </c>
      <c r="H11" s="2" t="s">
        <v>55</v>
      </c>
    </row>
    <row r="12" customFormat="false" ht="15" hidden="false" customHeight="false" outlineLevel="0" collapsed="false">
      <c r="A12" s="2" t="n">
        <v>11</v>
      </c>
      <c r="B12" s="2" t="s">
        <v>56</v>
      </c>
      <c r="C12" s="2" t="s">
        <v>57</v>
      </c>
      <c r="D12" s="2" t="s">
        <v>58</v>
      </c>
      <c r="E12" s="3" t="n">
        <v>1700000</v>
      </c>
      <c r="F12" s="2" t="s">
        <v>59</v>
      </c>
      <c r="G12" s="4" t="s">
        <v>12</v>
      </c>
      <c r="H12" s="2" t="s">
        <v>60</v>
      </c>
    </row>
    <row r="13" customFormat="false" ht="15" hidden="false" customHeight="false" outlineLevel="0" collapsed="false">
      <c r="A13" s="2" t="n">
        <v>12</v>
      </c>
      <c r="B13" s="2" t="s">
        <v>61</v>
      </c>
      <c r="C13" s="2" t="s">
        <v>62</v>
      </c>
      <c r="D13" s="2" t="s">
        <v>63</v>
      </c>
      <c r="E13" s="3" t="n">
        <v>1000000</v>
      </c>
      <c r="F13" s="2" t="s">
        <v>21</v>
      </c>
      <c r="G13" s="4" t="s">
        <v>12</v>
      </c>
      <c r="H13" s="2" t="s">
        <v>64</v>
      </c>
    </row>
    <row r="14" customFormat="false" ht="15" hidden="false" customHeight="false" outlineLevel="0" collapsed="false">
      <c r="A14" s="2" t="n">
        <v>13</v>
      </c>
      <c r="B14" s="2" t="s">
        <v>65</v>
      </c>
      <c r="C14" s="2" t="s">
        <v>66</v>
      </c>
      <c r="D14" s="2" t="s">
        <v>67</v>
      </c>
      <c r="E14" s="3" t="n">
        <v>1500000</v>
      </c>
      <c r="F14" s="2" t="s">
        <v>68</v>
      </c>
      <c r="G14" s="4" t="s">
        <v>12</v>
      </c>
      <c r="H14" s="2" t="s">
        <v>69</v>
      </c>
    </row>
    <row r="15" customFormat="false" ht="15" hidden="false" customHeight="false" outlineLevel="0" collapsed="false">
      <c r="A15" s="2" t="n">
        <v>14</v>
      </c>
      <c r="B15" s="2" t="s">
        <v>70</v>
      </c>
      <c r="C15" s="2" t="s">
        <v>71</v>
      </c>
      <c r="D15" s="2" t="s">
        <v>72</v>
      </c>
      <c r="E15" s="3" t="n">
        <v>800000</v>
      </c>
      <c r="F15" s="2" t="s">
        <v>50</v>
      </c>
      <c r="G15" s="4" t="s">
        <v>12</v>
      </c>
      <c r="H15" s="2" t="s">
        <v>73</v>
      </c>
    </row>
    <row r="16" customFormat="false" ht="23.85" hidden="false" customHeight="false" outlineLevel="0" collapsed="false">
      <c r="A16" s="2" t="n">
        <v>15</v>
      </c>
      <c r="B16" s="2" t="s">
        <v>74</v>
      </c>
      <c r="C16" s="2" t="s">
        <v>75</v>
      </c>
      <c r="D16" s="2" t="s">
        <v>76</v>
      </c>
      <c r="E16" s="3" t="n">
        <v>1600000</v>
      </c>
      <c r="F16" s="2" t="s">
        <v>50</v>
      </c>
      <c r="G16" s="4" t="s">
        <v>12</v>
      </c>
      <c r="H16" s="2" t="s">
        <v>77</v>
      </c>
    </row>
    <row r="17" customFormat="false" ht="15" hidden="false" customHeight="false" outlineLevel="0" collapsed="false">
      <c r="A17" s="2" t="n">
        <v>16</v>
      </c>
      <c r="B17" s="2" t="s">
        <v>78</v>
      </c>
      <c r="C17" s="2" t="s">
        <v>79</v>
      </c>
      <c r="D17" s="2" t="s">
        <v>80</v>
      </c>
      <c r="E17" s="3" t="n">
        <v>2500000</v>
      </c>
      <c r="F17" s="2" t="s">
        <v>50</v>
      </c>
      <c r="G17" s="4" t="s">
        <v>12</v>
      </c>
      <c r="H17" s="2" t="s">
        <v>81</v>
      </c>
    </row>
    <row r="18" customFormat="false" ht="15" hidden="false" customHeight="false" outlineLevel="0" collapsed="false">
      <c r="A18" s="2" t="n">
        <v>17</v>
      </c>
      <c r="B18" s="2" t="s">
        <v>82</v>
      </c>
      <c r="C18" s="2" t="s">
        <v>83</v>
      </c>
      <c r="D18" s="2" t="s">
        <v>84</v>
      </c>
      <c r="E18" s="3" t="n">
        <v>1500000</v>
      </c>
      <c r="F18" s="2" t="s">
        <v>40</v>
      </c>
      <c r="G18" s="4" t="s">
        <v>12</v>
      </c>
      <c r="H18" s="2" t="s">
        <v>85</v>
      </c>
    </row>
    <row r="19" customFormat="false" ht="15" hidden="false" customHeight="false" outlineLevel="0" collapsed="false">
      <c r="A19" s="2" t="n">
        <v>18</v>
      </c>
      <c r="B19" s="2" t="s">
        <v>86</v>
      </c>
      <c r="C19" s="2" t="s">
        <v>87</v>
      </c>
      <c r="D19" s="2" t="s">
        <v>88</v>
      </c>
      <c r="E19" s="3" t="n">
        <v>1200000</v>
      </c>
      <c r="F19" s="2" t="s">
        <v>21</v>
      </c>
      <c r="G19" s="4" t="s">
        <v>12</v>
      </c>
      <c r="H19" s="2" t="s">
        <v>89</v>
      </c>
    </row>
    <row r="20" customFormat="false" ht="15" hidden="false" customHeight="false" outlineLevel="0" collapsed="false">
      <c r="A20" s="2" t="n">
        <v>19</v>
      </c>
      <c r="B20" s="2" t="s">
        <v>90</v>
      </c>
      <c r="C20" s="2" t="s">
        <v>91</v>
      </c>
      <c r="D20" s="2" t="s">
        <v>92</v>
      </c>
      <c r="E20" s="3" t="n">
        <v>2000000</v>
      </c>
      <c r="F20" s="2" t="s">
        <v>40</v>
      </c>
      <c r="G20" s="4" t="s">
        <v>12</v>
      </c>
      <c r="H20" s="2" t="s">
        <v>93</v>
      </c>
    </row>
    <row r="21" customFormat="false" ht="15" hidden="false" customHeight="false" outlineLevel="0" collapsed="false">
      <c r="A21" s="2" t="n">
        <v>20</v>
      </c>
      <c r="B21" s="2" t="s">
        <v>94</v>
      </c>
      <c r="C21" s="2" t="s">
        <v>95</v>
      </c>
      <c r="D21" s="2" t="s">
        <v>96</v>
      </c>
      <c r="E21" s="3" t="n">
        <v>1300000</v>
      </c>
      <c r="F21" s="2" t="s">
        <v>97</v>
      </c>
      <c r="G21" s="4" t="s">
        <v>12</v>
      </c>
      <c r="H21" s="2" t="s">
        <v>98</v>
      </c>
    </row>
    <row r="22" customFormat="false" ht="15" hidden="false" customHeight="false" outlineLevel="0" collapsed="false">
      <c r="A22" s="2" t="n">
        <v>21</v>
      </c>
      <c r="B22" s="2" t="s">
        <v>99</v>
      </c>
      <c r="C22" s="2" t="s">
        <v>100</v>
      </c>
      <c r="D22" s="2" t="s">
        <v>101</v>
      </c>
      <c r="E22" s="3" t="n">
        <v>2200000</v>
      </c>
      <c r="F22" s="2" t="s">
        <v>102</v>
      </c>
      <c r="G22" s="5" t="s">
        <v>103</v>
      </c>
      <c r="H22" s="2" t="s">
        <v>104</v>
      </c>
    </row>
    <row r="23" customFormat="false" ht="15" hidden="false" customHeight="false" outlineLevel="0" collapsed="false">
      <c r="A23" s="2" t="n">
        <v>22</v>
      </c>
      <c r="B23" s="2" t="s">
        <v>105</v>
      </c>
      <c r="C23" s="2" t="s">
        <v>106</v>
      </c>
      <c r="D23" s="2" t="s">
        <v>107</v>
      </c>
      <c r="E23" s="3" t="n">
        <v>1800000</v>
      </c>
      <c r="F23" s="2" t="s">
        <v>102</v>
      </c>
      <c r="G23" s="5" t="s">
        <v>103</v>
      </c>
      <c r="H23" s="2" t="s">
        <v>108</v>
      </c>
    </row>
    <row r="24" customFormat="false" ht="15" hidden="false" customHeight="false" outlineLevel="0" collapsed="false">
      <c r="A24" s="2" t="n">
        <v>23</v>
      </c>
      <c r="B24" s="2" t="s">
        <v>109</v>
      </c>
      <c r="C24" s="2" t="s">
        <v>110</v>
      </c>
      <c r="D24" s="2" t="s">
        <v>111</v>
      </c>
      <c r="E24" s="3" t="n">
        <v>2000000</v>
      </c>
      <c r="F24" s="2" t="s">
        <v>112</v>
      </c>
      <c r="G24" s="5" t="s">
        <v>103</v>
      </c>
      <c r="H24" s="2" t="s">
        <v>113</v>
      </c>
    </row>
    <row r="25" customFormat="false" ht="15" hidden="false" customHeight="false" outlineLevel="0" collapsed="false">
      <c r="A25" s="2" t="n">
        <v>24</v>
      </c>
      <c r="B25" s="2" t="s">
        <v>114</v>
      </c>
      <c r="C25" s="2" t="s">
        <v>115</v>
      </c>
      <c r="D25" s="2" t="s">
        <v>116</v>
      </c>
      <c r="E25" s="3" t="n">
        <v>2400000</v>
      </c>
      <c r="F25" s="2" t="s">
        <v>112</v>
      </c>
      <c r="G25" s="5" t="s">
        <v>103</v>
      </c>
      <c r="H25" s="2" t="s">
        <v>117</v>
      </c>
    </row>
    <row r="26" customFormat="false" ht="15" hidden="false" customHeight="false" outlineLevel="0" collapsed="false">
      <c r="A26" s="2" t="n">
        <v>25</v>
      </c>
      <c r="B26" s="2" t="s">
        <v>118</v>
      </c>
      <c r="C26" s="2" t="s">
        <v>119</v>
      </c>
      <c r="D26" s="2" t="s">
        <v>120</v>
      </c>
      <c r="E26" s="3" t="n">
        <v>1900000</v>
      </c>
      <c r="F26" s="2" t="s">
        <v>112</v>
      </c>
      <c r="G26" s="5" t="s">
        <v>103</v>
      </c>
      <c r="H26" s="2" t="s">
        <v>121</v>
      </c>
    </row>
    <row r="27" customFormat="false" ht="15" hidden="false" customHeight="false" outlineLevel="0" collapsed="false">
      <c r="A27" s="2" t="n">
        <v>26</v>
      </c>
      <c r="B27" s="2" t="s">
        <v>122</v>
      </c>
      <c r="C27" s="2" t="s">
        <v>123</v>
      </c>
      <c r="D27" s="2" t="s">
        <v>124</v>
      </c>
      <c r="E27" s="3" t="n">
        <v>1600000</v>
      </c>
      <c r="F27" s="2" t="s">
        <v>112</v>
      </c>
      <c r="G27" s="5" t="s">
        <v>103</v>
      </c>
      <c r="H27" s="2" t="s">
        <v>125</v>
      </c>
    </row>
    <row r="28" customFormat="false" ht="15" hidden="false" customHeight="false" outlineLevel="0" collapsed="false">
      <c r="A28" s="2" t="n">
        <v>27</v>
      </c>
      <c r="B28" s="2" t="s">
        <v>126</v>
      </c>
      <c r="C28" s="2" t="s">
        <v>127</v>
      </c>
      <c r="D28" s="2" t="s">
        <v>128</v>
      </c>
      <c r="E28" s="3" t="n">
        <v>1700000</v>
      </c>
      <c r="F28" s="2" t="s">
        <v>112</v>
      </c>
      <c r="G28" s="5" t="s">
        <v>103</v>
      </c>
      <c r="H28" s="2" t="s">
        <v>129</v>
      </c>
    </row>
    <row r="29" customFormat="false" ht="15" hidden="false" customHeight="false" outlineLevel="0" collapsed="false">
      <c r="A29" s="2" t="n">
        <v>28</v>
      </c>
      <c r="B29" s="2" t="s">
        <v>130</v>
      </c>
      <c r="C29" s="2" t="s">
        <v>131</v>
      </c>
      <c r="D29" s="2" t="s">
        <v>132</v>
      </c>
      <c r="E29" s="3" t="n">
        <v>1900000</v>
      </c>
      <c r="F29" s="2" t="s">
        <v>45</v>
      </c>
      <c r="G29" s="5" t="s">
        <v>103</v>
      </c>
      <c r="H29" s="2" t="s">
        <v>133</v>
      </c>
    </row>
    <row r="30" customFormat="false" ht="15" hidden="false" customHeight="false" outlineLevel="0" collapsed="false">
      <c r="A30" s="2" t="n">
        <v>29</v>
      </c>
      <c r="B30" s="2" t="s">
        <v>134</v>
      </c>
      <c r="C30" s="2" t="s">
        <v>135</v>
      </c>
      <c r="D30" s="2" t="s">
        <v>136</v>
      </c>
      <c r="E30" s="3" t="n">
        <v>2100000</v>
      </c>
      <c r="F30" s="2" t="s">
        <v>97</v>
      </c>
      <c r="G30" s="5" t="s">
        <v>103</v>
      </c>
      <c r="H30" s="2" t="s">
        <v>137</v>
      </c>
    </row>
    <row r="31" customFormat="false" ht="15" hidden="false" customHeight="false" outlineLevel="0" collapsed="false">
      <c r="A31" s="2" t="n">
        <v>30</v>
      </c>
      <c r="B31" s="2" t="s">
        <v>138</v>
      </c>
      <c r="C31" s="2" t="s">
        <v>139</v>
      </c>
      <c r="D31" s="2" t="s">
        <v>140</v>
      </c>
      <c r="E31" s="3" t="n">
        <v>1500000</v>
      </c>
      <c r="F31" s="2" t="s">
        <v>112</v>
      </c>
      <c r="G31" s="5" t="s">
        <v>103</v>
      </c>
      <c r="H31" s="2" t="s">
        <v>141</v>
      </c>
    </row>
    <row r="32" customFormat="false" ht="23.85" hidden="false" customHeight="false" outlineLevel="0" collapsed="false">
      <c r="A32" s="2" t="n">
        <v>31</v>
      </c>
      <c r="B32" s="2" t="s">
        <v>142</v>
      </c>
      <c r="C32" s="2" t="s">
        <v>143</v>
      </c>
      <c r="D32" s="2" t="s">
        <v>144</v>
      </c>
      <c r="E32" s="3" t="n">
        <v>1600000</v>
      </c>
      <c r="F32" s="2" t="s">
        <v>59</v>
      </c>
      <c r="G32" s="5" t="s">
        <v>103</v>
      </c>
      <c r="H32" s="2" t="s">
        <v>145</v>
      </c>
    </row>
    <row r="33" customFormat="false" ht="15" hidden="false" customHeight="false" outlineLevel="0" collapsed="false">
      <c r="A33" s="2" t="n">
        <v>32</v>
      </c>
      <c r="B33" s="2" t="s">
        <v>146</v>
      </c>
      <c r="C33" s="2" t="s">
        <v>147</v>
      </c>
      <c r="D33" s="2" t="s">
        <v>148</v>
      </c>
      <c r="E33" s="3" t="n">
        <v>2700000</v>
      </c>
      <c r="F33" s="2" t="s">
        <v>40</v>
      </c>
      <c r="G33" s="5" t="s">
        <v>103</v>
      </c>
      <c r="H33" s="2" t="s">
        <v>149</v>
      </c>
    </row>
    <row r="34" customFormat="false" ht="15" hidden="false" customHeight="false" outlineLevel="0" collapsed="false">
      <c r="A34" s="2" t="n">
        <v>33</v>
      </c>
      <c r="B34" s="2" t="s">
        <v>150</v>
      </c>
      <c r="C34" s="2" t="s">
        <v>151</v>
      </c>
      <c r="D34" s="2" t="s">
        <v>152</v>
      </c>
      <c r="E34" s="3" t="n">
        <v>1400000</v>
      </c>
      <c r="F34" s="2" t="s">
        <v>40</v>
      </c>
      <c r="G34" s="5" t="s">
        <v>103</v>
      </c>
      <c r="H34" s="2" t="s">
        <v>153</v>
      </c>
    </row>
    <row r="35" customFormat="false" ht="15" hidden="false" customHeight="false" outlineLevel="0" collapsed="false">
      <c r="A35" s="2" t="n">
        <v>34</v>
      </c>
      <c r="B35" s="2" t="s">
        <v>154</v>
      </c>
      <c r="C35" s="2" t="s">
        <v>155</v>
      </c>
      <c r="D35" s="2" t="s">
        <v>156</v>
      </c>
      <c r="E35" s="3" t="n">
        <v>2300000</v>
      </c>
      <c r="F35" s="2" t="s">
        <v>112</v>
      </c>
      <c r="G35" s="5" t="s">
        <v>103</v>
      </c>
      <c r="H35" s="2" t="s">
        <v>157</v>
      </c>
    </row>
    <row r="36" customFormat="false" ht="15" hidden="false" customHeight="false" outlineLevel="0" collapsed="false">
      <c r="A36" s="2" t="n">
        <v>35</v>
      </c>
      <c r="B36" s="2" t="s">
        <v>158</v>
      </c>
      <c r="C36" s="2" t="s">
        <v>159</v>
      </c>
      <c r="D36" s="2" t="s">
        <v>160</v>
      </c>
      <c r="E36" s="3" t="n">
        <v>3000000</v>
      </c>
      <c r="F36" s="2" t="s">
        <v>102</v>
      </c>
      <c r="G36" s="5" t="s">
        <v>103</v>
      </c>
      <c r="H36" s="2" t="s">
        <v>161</v>
      </c>
    </row>
    <row r="37" customFormat="false" ht="15" hidden="false" customHeight="false" outlineLevel="0" collapsed="false">
      <c r="A37" s="2" t="n">
        <v>36</v>
      </c>
      <c r="B37" s="2" t="s">
        <v>162</v>
      </c>
      <c r="C37" s="2" t="s">
        <v>163</v>
      </c>
      <c r="D37" s="2" t="s">
        <v>164</v>
      </c>
      <c r="E37" s="3" t="n">
        <v>2600000</v>
      </c>
      <c r="F37" s="2" t="s">
        <v>40</v>
      </c>
      <c r="G37" s="5" t="s">
        <v>103</v>
      </c>
      <c r="H37" s="2" t="s">
        <v>165</v>
      </c>
    </row>
    <row r="38" customFormat="false" ht="15" hidden="false" customHeight="false" outlineLevel="0" collapsed="false">
      <c r="A38" s="2" t="n">
        <v>37</v>
      </c>
      <c r="B38" s="2" t="s">
        <v>166</v>
      </c>
      <c r="C38" s="2" t="s">
        <v>167</v>
      </c>
      <c r="D38" s="2" t="s">
        <v>168</v>
      </c>
      <c r="E38" s="3" t="n">
        <v>900000</v>
      </c>
      <c r="F38" s="2" t="s">
        <v>68</v>
      </c>
      <c r="G38" s="5" t="s">
        <v>103</v>
      </c>
      <c r="H38" s="2" t="s">
        <v>169</v>
      </c>
    </row>
    <row r="39" customFormat="false" ht="15" hidden="false" customHeight="false" outlineLevel="0" collapsed="false">
      <c r="A39" s="2" t="n">
        <v>38</v>
      </c>
      <c r="B39" s="2" t="s">
        <v>170</v>
      </c>
      <c r="C39" s="2" t="s">
        <v>171</v>
      </c>
      <c r="D39" s="2" t="s">
        <v>172</v>
      </c>
      <c r="E39" s="3" t="n">
        <v>2000000</v>
      </c>
      <c r="F39" s="2" t="s">
        <v>45</v>
      </c>
      <c r="G39" s="5" t="s">
        <v>103</v>
      </c>
      <c r="H39" s="2" t="s">
        <v>173</v>
      </c>
    </row>
    <row r="40" customFormat="false" ht="15" hidden="false" customHeight="false" outlineLevel="0" collapsed="false">
      <c r="A40" s="2" t="n">
        <v>39</v>
      </c>
      <c r="B40" s="2" t="s">
        <v>174</v>
      </c>
      <c r="C40" s="2" t="s">
        <v>175</v>
      </c>
      <c r="D40" s="2" t="s">
        <v>176</v>
      </c>
      <c r="E40" s="3" t="n">
        <v>1800000</v>
      </c>
      <c r="F40" s="2" t="s">
        <v>112</v>
      </c>
      <c r="G40" s="5" t="s">
        <v>103</v>
      </c>
      <c r="H40" s="2" t="s">
        <v>177</v>
      </c>
    </row>
    <row r="41" customFormat="false" ht="15" hidden="false" customHeight="false" outlineLevel="0" collapsed="false">
      <c r="A41" s="2" t="n">
        <v>40</v>
      </c>
      <c r="B41" s="2" t="s">
        <v>178</v>
      </c>
      <c r="C41" s="2" t="s">
        <v>179</v>
      </c>
      <c r="D41" s="2" t="s">
        <v>180</v>
      </c>
      <c r="E41" s="3" t="n">
        <v>1000000</v>
      </c>
      <c r="F41" s="2" t="s">
        <v>30</v>
      </c>
      <c r="G41" s="5" t="s">
        <v>103</v>
      </c>
      <c r="H41" s="2" t="s">
        <v>181</v>
      </c>
    </row>
    <row r="43" customFormat="false" ht="15" hidden="false" customHeight="false" outlineLevel="0" collapsed="false">
      <c r="C43" s="6" t="s">
        <v>182</v>
      </c>
      <c r="E43" s="7" t="n">
        <f aca="false">COUNTA(C2:C41)</f>
        <v>40</v>
      </c>
    </row>
    <row r="44" customFormat="false" ht="15" hidden="false" customHeight="false" outlineLevel="0" collapsed="false">
      <c r="C44" s="8" t="s">
        <v>12</v>
      </c>
      <c r="E44" s="7" t="n">
        <f aca="false">COUNTIF(G2:G41,"Hozirgi")</f>
        <v>20</v>
      </c>
    </row>
    <row r="45" customFormat="false" ht="15" hidden="false" customHeight="false" outlineLevel="0" collapsed="false">
      <c r="C45" s="8" t="s">
        <v>103</v>
      </c>
      <c r="E45" s="7" t="n">
        <f aca="false">COUNTIF(G2:G41,"Istiqbol")</f>
        <v>20</v>
      </c>
    </row>
    <row r="46" customFormat="false" ht="15" hidden="false" customHeight="false" outlineLevel="0" collapsed="false">
      <c r="C46" s="8" t="s">
        <v>183</v>
      </c>
      <c r="E46" s="9" t="n">
        <f aca="false">MIN(E2:E41)</f>
        <v>800000</v>
      </c>
      <c r="F46" s="9" t="n">
        <f aca="false">MAX(E2:E41)</f>
        <v>3000000</v>
      </c>
    </row>
    <row r="48" customFormat="false" ht="15" hidden="false" customHeight="false" outlineLevel="0" collapsed="false">
      <c r="A48" s="10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2026-10-21T20:28:06Z</dcterms:created>
  <dc:creator>openpyxl</dc:creator>
  <dc:description/>
  <dc:language>en-US</dc:language>
  <cp:lastModifiedBy/>
  <dcterms:modified xsi:type="dcterms:W3CDTF">2026-10-21T20:28:06Z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